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987a171a9104723/Documents/"/>
    </mc:Choice>
  </mc:AlternateContent>
  <xr:revisionPtr revIDLastSave="0" documentId="8_{4074D84C-0F18-4B19-AC1C-BC6091BC71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2" l="1"/>
  <c r="L4" i="2"/>
  <c r="M4" i="2"/>
  <c r="N4" i="2"/>
  <c r="O4" i="2"/>
  <c r="P4" i="2"/>
  <c r="Q4" i="2"/>
  <c r="R4" i="2"/>
  <c r="S4" i="2"/>
  <c r="T4" i="2"/>
  <c r="U4" i="2"/>
  <c r="V4" i="2"/>
  <c r="W4" i="2"/>
  <c r="X4" i="2"/>
  <c r="J4" i="2" l="1"/>
</calcChain>
</file>

<file path=xl/sharedStrings.xml><?xml version="1.0" encoding="utf-8"?>
<sst xmlns="http://schemas.openxmlformats.org/spreadsheetml/2006/main" count="401" uniqueCount="250">
  <si>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</si>
  <si>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</si>
  <si>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</si>
  <si>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</si>
  <si>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</si>
  <si>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</si>
  <si>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</si>
  <si>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</si>
  <si>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</si>
  <si>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US-1</t>
  </si>
  <si>
    <t>Introduction to Project</t>
  </si>
  <si>
    <t>MUST HAVE</t>
  </si>
  <si>
    <t>No Dependency</t>
  </si>
  <si>
    <t>Dolendra</t>
  </si>
  <si>
    <t>3 - Completed</t>
  </si>
  <si>
    <t>Sprint 2</t>
  </si>
  <si>
    <t>US-2</t>
  </si>
  <si>
    <t>Workflow Creation and Project Goal Definition</t>
  </si>
  <si>
    <t>Lucidchart</t>
  </si>
  <si>
    <t>Sprint 3</t>
  </si>
  <si>
    <t>US-3</t>
  </si>
  <si>
    <t>Collect customer reviews from multiple platforms (YouTube API) to centralize raw feedback data.</t>
  </si>
  <si>
    <t>YouTube API, Scrapers</t>
  </si>
  <si>
    <t>Sprint 4</t>
  </si>
  <si>
    <t>US-4</t>
  </si>
  <si>
    <t>Clean and preprocess raw review data to remove noise and normalize text.</t>
  </si>
  <si>
    <t>SHOULD HAVE</t>
  </si>
  <si>
    <t>OpenAI, Groq Embeddings</t>
  </si>
  <si>
    <t>Sprint 5</t>
  </si>
  <si>
    <t>US-5</t>
  </si>
  <si>
    <t>Database Design (Pinecone Schema and Embedding Collection Setup)</t>
  </si>
  <si>
    <t>Pinecone</t>
  </si>
  <si>
    <t>Sprint 6</t>
  </si>
  <si>
    <t>US-6</t>
  </si>
  <si>
    <t>Implement a LangChain retriever to fetch contextually relevant reviews based on user queries.</t>
  </si>
  <si>
    <t>Langchain</t>
  </si>
  <si>
    <t>Sprint 7</t>
  </si>
  <si>
    <t>US-7</t>
  </si>
  <si>
    <t>Content Gap Detection and Improvement Module (Alerts &amp; Reports)</t>
  </si>
  <si>
    <t>Tracker, Usage Logs</t>
  </si>
  <si>
    <t>Sprint 8</t>
  </si>
  <si>
    <t>US-8</t>
  </si>
  <si>
    <t>UI Integration and Query Flow Implementation (React Dashboard + FastAPI)</t>
  </si>
  <si>
    <t>React, FastAPI, Recommendation Engine</t>
  </si>
  <si>
    <t>Sprint 9</t>
  </si>
  <si>
    <t>US-9</t>
  </si>
  <si>
    <t>Final Testing and System Integration with Demo Preparation</t>
  </si>
  <si>
    <t>All previous modules</t>
  </si>
  <si>
    <t>Sprint 10</t>
  </si>
  <si>
    <t>US-10</t>
  </si>
  <si>
    <t>System Deployment (Vercel + Render), CI/CD Setup, Performance Optimization</t>
  </si>
  <si>
    <t>Entire system</t>
  </si>
  <si>
    <t>Sprint 11</t>
  </si>
  <si>
    <t>US-11</t>
  </si>
  <si>
    <t>Full Documentation (Tech Docs, Architecture, API, UI Flow) &amp; User Training</t>
  </si>
  <si>
    <t>Task ID</t>
  </si>
  <si>
    <t>Task Description</t>
  </si>
  <si>
    <t>Task Start Date</t>
  </si>
  <si>
    <t>Task Completion Date</t>
  </si>
  <si>
    <t>Team Member</t>
  </si>
  <si>
    <t>Activity</t>
  </si>
  <si>
    <t>Priority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</si>
  <si>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</si>
  <si>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</si>
  <si>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</si>
  <si>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</si>
  <si>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</si>
  <si>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</si>
  <si>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</si>
  <si>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</si>
  <si>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</si>
  <si>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</si>
  <si>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</si>
  <si>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</si>
  <si>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</si>
  <si>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</si>
  <si>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</si>
  <si>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1 BACKLOG</t>
  </si>
  <si>
    <t>US_1</t>
  </si>
  <si>
    <t>T1</t>
  </si>
  <si>
    <t>Project Setup and Repository Initialization</t>
  </si>
  <si>
    <t>29-Dec-25</t>
  </si>
  <si>
    <t>30-Dec-25</t>
  </si>
  <si>
    <t>Planning</t>
  </si>
  <si>
    <t>Completed</t>
  </si>
  <si>
    <t>High</t>
  </si>
  <si>
    <t>US_2</t>
  </si>
  <si>
    <t>T2</t>
  </si>
  <si>
    <t>Workflow Definition and Requirement Finalization</t>
  </si>
  <si>
    <t>02-Jan-26</t>
  </si>
  <si>
    <t>US_3</t>
  </si>
  <si>
    <t>T3</t>
  </si>
  <si>
    <t>Architecture Diagram and Module Design</t>
  </si>
  <si>
    <t>05-Jan-26</t>
  </si>
  <si>
    <t>Design</t>
  </si>
  <si>
    <t>US_4</t>
  </si>
  <si>
    <t>T4</t>
  </si>
  <si>
    <t>YouTube API &amp; Data Ingestion Module</t>
  </si>
  <si>
    <t>10-Jan-26</t>
  </si>
  <si>
    <t>Build</t>
  </si>
  <si>
    <t>US_5</t>
  </si>
  <si>
    <t>T5</t>
  </si>
  <si>
    <t>Data Cleaning and Preprocessing Pipeline</t>
  </si>
  <si>
    <t>14-Jan-26</t>
  </si>
  <si>
    <t>US_6</t>
  </si>
  <si>
    <t>T6</t>
  </si>
  <si>
    <t>Sentiment and Aspect Tagging / Feature Extraction</t>
  </si>
  <si>
    <t>17-Jan-26</t>
  </si>
  <si>
    <t>US_7</t>
  </si>
  <si>
    <t>T7</t>
  </si>
  <si>
    <t>Embedding Generation using Sentence Transformers</t>
  </si>
  <si>
    <t>20-Jan-26</t>
  </si>
  <si>
    <t>Medium</t>
  </si>
  <si>
    <t>US_8</t>
  </si>
  <si>
    <t>T8</t>
  </si>
  <si>
    <t>Pinecone Vector Database Setup and Indexing</t>
  </si>
  <si>
    <t>24-Jan-26</t>
  </si>
  <si>
    <t>US_9</t>
  </si>
  <si>
    <t>T9</t>
  </si>
  <si>
    <t>LangChain Retriever Integration</t>
  </si>
  <si>
    <t>27-Jan-26</t>
  </si>
  <si>
    <t>Integration</t>
  </si>
  <si>
    <t>US_10</t>
  </si>
  <si>
    <t>T10</t>
  </si>
  <si>
    <t>RAG Pipeline with Groq LLM Integration</t>
  </si>
  <si>
    <t>01-Feb-26</t>
  </si>
  <si>
    <t>US_11</t>
  </si>
  <si>
    <t>T11</t>
  </si>
  <si>
    <t>FastAPI Backend and React Dashboard UI Development</t>
  </si>
  <si>
    <t>08-Feb-26</t>
  </si>
  <si>
    <t>US_12</t>
  </si>
  <si>
    <t>T12</t>
  </si>
  <si>
    <t>System Testing, Debugging &amp; Performance Fixes</t>
  </si>
  <si>
    <t>12-Feb-26</t>
  </si>
  <si>
    <t>Test</t>
  </si>
  <si>
    <t>US_13</t>
  </si>
  <si>
    <t>T13</t>
  </si>
  <si>
    <t>Final Demo Preparation &amp; Presentation Building</t>
  </si>
  <si>
    <t>14-Feb-26</t>
  </si>
  <si>
    <t>Documentation</t>
  </si>
  <si>
    <t>US_14</t>
  </si>
  <si>
    <t>T14</t>
  </si>
  <si>
    <t>Documentation (Technical + User Manual)</t>
  </si>
  <si>
    <t>17-Feb-26</t>
  </si>
  <si>
    <t>US_15</t>
  </si>
  <si>
    <t>T15</t>
  </si>
  <si>
    <t>Project Closure, Review &amp; Submission</t>
  </si>
  <si>
    <t>19-Feb-26</t>
  </si>
  <si>
    <t>Others</t>
  </si>
  <si>
    <t>Low</t>
  </si>
  <si>
    <t>Sprint</t>
  </si>
  <si>
    <t>Day</t>
  </si>
  <si>
    <t>Impediments</t>
  </si>
  <si>
    <t>Action Taken</t>
  </si>
  <si>
    <t>Unclear system architecture while defining RAG flow and module interaction.</t>
  </si>
  <si>
    <t>Redesigned architecture diagram and validated end-to-end data flow from ingestion to dashboard.</t>
  </si>
  <si>
    <t>Issues during data ingestion due to YouTube API quotas and rate limits.</t>
  </si>
  <si>
    <t>Implemented request throttling and optimized ingestion logic with retry handling.</t>
  </si>
  <si>
    <t>Inconsistent review formats causing preprocessing errors.</t>
  </si>
  <si>
    <t>Standardized text cleaning pipeline and added validation checks.</t>
  </si>
  <si>
    <t>Day 16</t>
  </si>
  <si>
    <t>Confusion in designing metadata schema for sentiment and aspect tagging.</t>
  </si>
  <si>
    <t>Redefined metadata structure and aligned tagging format across modules.</t>
  </si>
  <si>
    <t>Day 22</t>
  </si>
  <si>
    <t>Embedding generation latency and memory overhead on local machine.</t>
  </si>
  <si>
    <t>Switched to lightweight sentence-transformer model and optimized batch size.</t>
  </si>
  <si>
    <t>Day 24</t>
  </si>
  <si>
    <t>Pinecone index mismatch with metadata causing retrieval errors.</t>
  </si>
  <si>
    <t>Rebuilt index and ensured correct index-to-docstore mapping; validated LangChain text splitter imports.</t>
  </si>
  <si>
    <t>Day 30</t>
  </si>
  <si>
    <t>Groq LLM integration errors due to model version changes.</t>
  </si>
  <si>
    <t>Updated model configuration and validated API integration with fallback handling.</t>
  </si>
  <si>
    <t>Day 36</t>
  </si>
  <si>
    <t>React state and FastAPI CORS issues during UI integration.</t>
  </si>
  <si>
    <t>Refactored API base URL handling and CORS; modularized dashboard components.</t>
  </si>
  <si>
    <t>Day 40</t>
  </si>
  <si>
    <t>Build failure due to ESLint warnings and unused variables on Vercel.</t>
  </si>
  <si>
    <t>Resolved ESLint issues and fixed setChatHistory reference; build passed with CI=true.</t>
  </si>
  <si>
    <t>Day 45</t>
  </si>
  <si>
    <t>Render deploy: pandas build failed on Python 3.14; uvicorn could not find app.</t>
  </si>
  <si>
    <t>Pinned Python to 3.12 via .python-version; changed start command to uvicorn dashboards.api_server:app.</t>
  </si>
  <si>
    <t>Day 50</t>
  </si>
  <si>
    <t>ModuleNotFoundError: langchain.text_splitter on Render.</t>
  </si>
  <si>
    <t>Added langchain-text-splitters and updated vector_store.py imports with try/except fallback.</t>
  </si>
  <si>
    <t>Sprint start date</t>
  </si>
  <si>
    <t>Sprint end date</t>
  </si>
  <si>
    <t>Team member name</t>
  </si>
  <si>
    <t>Start Doing</t>
  </si>
  <si>
    <t>Stop Doing</t>
  </si>
  <si>
    <t>Continue Doing</t>
  </si>
  <si>
    <t>Action taken</t>
  </si>
  <si>
    <t>30-12-2025</t>
  </si>
  <si>
    <t>02-01-2026</t>
  </si>
  <si>
    <t>Designing system architecture and defining RAG pipeline model.</t>
  </si>
  <si>
    <t>Starting implementation without finalized architecture.</t>
  </si>
  <si>
    <t>Structured documentation and modular planning.</t>
  </si>
  <si>
    <t>Finalized end-to-end architecture from ingestion to dashboard.</t>
  </si>
  <si>
    <t>06-01-2026</t>
  </si>
  <si>
    <t>Building workflow and project goal definition with Lucidchart.</t>
  </si>
  <si>
    <t>Ad-hoc task tracking without a backlog.</t>
  </si>
  <si>
    <t>Keeping workflow diagrams updated.</t>
  </si>
  <si>
    <t>Documented workflow and project goals.</t>
  </si>
  <si>
    <t>12-01-2026</t>
  </si>
  <si>
    <t>Collecting customer reviews from YouTube and centralizing raw data.</t>
  </si>
  <si>
    <t>Manual copy-paste of review data.</t>
  </si>
  <si>
    <t>Using API clients with rate limiting and retries.</t>
  </si>
  <si>
    <t>Implemented ingestion pipeline and structured data storage.</t>
  </si>
  <si>
    <t>18-01-2026</t>
  </si>
  <si>
    <t>Cleaning and preprocessing raw review data with normalization.</t>
  </si>
  <si>
    <t>Manual data cleaning without automation.</t>
  </si>
  <si>
    <t>Improving preprocessing consistency and validation.</t>
  </si>
  <si>
    <t>Standardized normalization and noise removal logic.</t>
  </si>
  <si>
    <t>24-01-2026</t>
  </si>
  <si>
    <t>Database design: Pinecone schema and embedding collection setup.</t>
  </si>
  <si>
    <t>Hardcoding credentials and index names.</t>
  </si>
  <si>
    <t>Using environment variables for all secrets.</t>
  </si>
  <si>
    <t>Configured Pinecone index and embedding pipeline.</t>
  </si>
  <si>
    <t>28-01-2026</t>
  </si>
  <si>
    <t>Implementing LangChain retriever for contextually relevant reviews.</t>
  </si>
  <si>
    <t>Using deprecated langchain.text_splitter without fallback.</t>
  </si>
  <si>
    <t>Testing with langchain_text_splitters and community imports.</t>
  </si>
  <si>
    <t>Integrated retriever and fixed text splitter imports for 0.2+.</t>
  </si>
  <si>
    <t>03-02-2026</t>
  </si>
  <si>
    <t>Content gap detection, alerts and report generation (PDF/Excel).</t>
  </si>
  <si>
    <t>Hardcoding tagging rules without flexibility.</t>
  </si>
  <si>
    <t>Testing tagging outputs iteratively.</t>
  </si>
  <si>
    <t>Implemented alert service and report generator.</t>
  </si>
  <si>
    <t>10-02-2026</t>
  </si>
  <si>
    <t>UI integration: React dashboard and FastAPI query flow.</t>
  </si>
  <si>
    <t>Mixing API base URL logic across components.</t>
  </si>
  <si>
    <t>Using single REACT_APP_API_URL and CORS config.</t>
  </si>
  <si>
    <t>Delivered React dashboard and FastAPI backend integration.</t>
  </si>
  <si>
    <t>09-02-2026</t>
  </si>
  <si>
    <t>12-02-2026</t>
  </si>
  <si>
    <t>Final testing and system integration; demo preparation.</t>
  </si>
  <si>
    <t>Skipping CI-equivalent builds before deploy.</t>
  </si>
  <si>
    <t>Running npm run build with CI=true before pushing.</t>
  </si>
  <si>
    <t>Completed testing and demo readiness.</t>
  </si>
  <si>
    <t>16-02-2026</t>
  </si>
  <si>
    <t>System deployment (Vercel + Render), performance tuning.</t>
  </si>
  <si>
    <t>Hardcoding file paths and Python version.</t>
  </si>
  <si>
    <t>Using .python-version and correct uvicorn module path.</t>
  </si>
  <si>
    <t>Refactored start command and Python version; deployed successfully.</t>
  </si>
  <si>
    <t>19-02-2026</t>
  </si>
  <si>
    <t>Full documentation (tech docs, architecture, API, UI) and handover.</t>
  </si>
  <si>
    <t>Leaving deployment and import fixes undocumented.</t>
  </si>
  <si>
    <t>Monitoring deployment logs and fixing errors.</t>
  </si>
  <si>
    <t>Completed documentation and agile workflow artifacts.</t>
  </si>
  <si>
    <t>Sprint No.</t>
  </si>
  <si>
    <t>SL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</si>
</sst>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E6B182"/>
        <bgColor rgb="FFE6B182"/>
      </patternFill>
    </fill>
    <fill>
      <patternFill patternType="solid">
        <fgColor rgb="FFC6E0B4"/>
        <bgColor rgb="FFC6E0B4"/>
      </patternFill>
    </fill>
    <fill>
      <patternFill patternType="solid">
        <fgColor rgb="FFBFBFBF"/>
        <bgColor rgb="FFBFBFBF"/>
      </patternFill>
    </fill>
    <fill>
      <patternFill patternType="solid">
        <fgColor rgb="FFB7C99A"/>
        <bgColor rgb="FFB7C99A"/>
      </patternFill>
    </fill>
    <fill>
      <patternFill patternType="solid">
        <fgColor rgb="FF8FB8C6"/>
        <bgColor rgb="FF8FB8C6"/>
      </patternFill>
    </fill>
    <fill>
      <patternFill patternType="solid">
        <fgColor rgb="FFE6B182"/>
        <bgColor indexed="64"/>
      </patternFill>
    </fill>
    <fill>
      <patternFill patternType="solid">
        <fgColor rgb="FFB7C99A"/>
        <bgColor rgb="FFD9EAD3"/>
      </patternFill>
    </fill>
    <fill>
      <patternFill patternType="solid">
        <fgColor rgb="FFB7C99A"/>
        <bgColor indexed="64"/>
      </patternFill>
    </fill>
    <fill>
      <patternFill patternType="solid">
        <fgColor rgb="FF92D050"/>
        <bgColor rgb="FFD9EAD3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1" fillId="4" borderId="4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0" fillId="7" borderId="2" xfId="0" applyFill="1" applyBorder="1"/>
    <xf numFmtId="0" fontId="3" fillId="7" borderId="1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/>
    </xf>
    <xf numFmtId="0" fontId="0" fillId="9" borderId="0" xfId="0" applyFill="1"/>
    <xf numFmtId="0" fontId="0" fillId="9" borderId="0" xfId="0" applyFill="1"/>
    <xf numFmtId="0" fontId="0" fillId="0" borderId="6" xfId="0" applyBorder="1" applyAlignment="1">
      <alignment vertical="center"/>
    </xf>
    <xf numFmtId="0" fontId="0" fillId="0" borderId="6" xfId="0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B7C99A"/>
      <color rgb="FFE6B1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J5" sqref="J5"/>
    </sheetView>
  </sheetViews>
  <sheetFormatPr defaultRowHeight="14.4" x14ac:dyDescent="0.3"/>
  <cols>
    <col min="1" max="2" width="14" customWidth="1"/>
    <col min="3" max="3" width="9" customWidth="1"/>
    <col min="4" max="4" width="52" customWidth="1"/>
    <col min="5" max="5" width="12" customWidth="1"/>
    <col min="6" max="6" width="24" customWidth="1"/>
    <col min="7" max="7" width="14" customWidth="1"/>
    <col min="8" max="8" width="16" customWidth="1"/>
  </cols>
  <sheetData>
    <row r="1" spans="1:8" ht="24" customHeight="1" x14ac:dyDescent="0.3">
      <c r="A1" s="19" t="s">
        <v>0</v>
      </c>
      <c r="B1" s="18" t="s">
        <v>1</v>
      </c>
      <c r="C1" s="1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 ht="19.95" customHeight="1" x14ac:dyDescent="0.3">
      <c r="A2" s="20"/>
      <c r="B2" s="17"/>
      <c r="C2" s="17"/>
      <c r="D2" s="17"/>
      <c r="E2" s="8"/>
      <c r="F2" s="8"/>
      <c r="G2" s="8"/>
      <c r="H2" s="8"/>
    </row>
    <row r="3" spans="1:8" ht="30.6" customHeight="1" x14ac:dyDescent="0.3">
      <c r="A3" s="1" t="s">
        <v>8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2" t="s">
        <v>14</v>
      </c>
    </row>
    <row r="4" spans="1:8" ht="30" customHeight="1" x14ac:dyDescent="0.3">
      <c r="A4" s="1" t="s">
        <v>15</v>
      </c>
      <c r="B4" s="1" t="s">
        <v>15</v>
      </c>
      <c r="C4" s="1" t="s">
        <v>16</v>
      </c>
      <c r="D4" s="1" t="s">
        <v>17</v>
      </c>
      <c r="E4" s="1" t="s">
        <v>11</v>
      </c>
      <c r="F4" s="1" t="s">
        <v>18</v>
      </c>
      <c r="G4" s="1" t="s">
        <v>13</v>
      </c>
      <c r="H4" s="2" t="s">
        <v>14</v>
      </c>
    </row>
    <row r="5" spans="1:8" ht="29.4" customHeight="1" x14ac:dyDescent="0.3">
      <c r="A5" s="1" t="s">
        <v>19</v>
      </c>
      <c r="B5" s="1" t="s">
        <v>19</v>
      </c>
      <c r="C5" s="1" t="s">
        <v>20</v>
      </c>
      <c r="D5" s="1" t="s">
        <v>21</v>
      </c>
      <c r="E5" s="1" t="s">
        <v>11</v>
      </c>
      <c r="F5" s="1" t="s">
        <v>22</v>
      </c>
      <c r="G5" s="1" t="s">
        <v>13</v>
      </c>
      <c r="H5" s="2" t="s">
        <v>14</v>
      </c>
    </row>
    <row r="6" spans="1:8" ht="28.8" x14ac:dyDescent="0.3">
      <c r="A6" s="1" t="s">
        <v>23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27</v>
      </c>
      <c r="G6" s="1" t="s">
        <v>13</v>
      </c>
      <c r="H6" s="2" t="s">
        <v>14</v>
      </c>
    </row>
    <row r="7" spans="1:8" ht="28.8" x14ac:dyDescent="0.3">
      <c r="A7" s="1" t="s">
        <v>28</v>
      </c>
      <c r="B7" s="1" t="s">
        <v>28</v>
      </c>
      <c r="C7" s="1" t="s">
        <v>29</v>
      </c>
      <c r="D7" s="1" t="s">
        <v>30</v>
      </c>
      <c r="E7" s="1" t="s">
        <v>11</v>
      </c>
      <c r="F7" s="1" t="s">
        <v>31</v>
      </c>
      <c r="G7" s="1" t="s">
        <v>13</v>
      </c>
      <c r="H7" s="2" t="s">
        <v>14</v>
      </c>
    </row>
    <row r="8" spans="1:8" ht="28.8" x14ac:dyDescent="0.3">
      <c r="A8" s="1" t="s">
        <v>32</v>
      </c>
      <c r="B8" s="1" t="s">
        <v>32</v>
      </c>
      <c r="C8" s="1" t="s">
        <v>33</v>
      </c>
      <c r="D8" s="1" t="s">
        <v>34</v>
      </c>
      <c r="E8" s="1" t="s">
        <v>26</v>
      </c>
      <c r="F8" s="1" t="s">
        <v>35</v>
      </c>
      <c r="G8" s="1" t="s">
        <v>13</v>
      </c>
      <c r="H8" s="2" t="s">
        <v>14</v>
      </c>
    </row>
    <row r="9" spans="1:8" ht="28.8" x14ac:dyDescent="0.3">
      <c r="A9" s="1" t="s">
        <v>36</v>
      </c>
      <c r="B9" s="1" t="s">
        <v>36</v>
      </c>
      <c r="C9" s="1" t="s">
        <v>37</v>
      </c>
      <c r="D9" s="1" t="s">
        <v>38</v>
      </c>
      <c r="E9" s="1" t="s">
        <v>11</v>
      </c>
      <c r="F9" s="1" t="s">
        <v>39</v>
      </c>
      <c r="G9" s="1" t="s">
        <v>13</v>
      </c>
      <c r="H9" s="2" t="s">
        <v>14</v>
      </c>
    </row>
    <row r="10" spans="1:8" ht="28.8" x14ac:dyDescent="0.3">
      <c r="A10" s="1" t="s">
        <v>40</v>
      </c>
      <c r="B10" s="1" t="s">
        <v>40</v>
      </c>
      <c r="C10" s="1" t="s">
        <v>41</v>
      </c>
      <c r="D10" s="1" t="s">
        <v>42</v>
      </c>
      <c r="E10" s="1" t="s">
        <v>11</v>
      </c>
      <c r="F10" s="1" t="s">
        <v>43</v>
      </c>
      <c r="G10" s="1" t="s">
        <v>13</v>
      </c>
      <c r="H10" s="2" t="s">
        <v>14</v>
      </c>
    </row>
    <row r="11" spans="1:8" ht="24.6" customHeight="1" x14ac:dyDescent="0.3">
      <c r="A11" s="1" t="s">
        <v>44</v>
      </c>
      <c r="B11" s="1" t="s">
        <v>44</v>
      </c>
      <c r="C11" s="1" t="s">
        <v>45</v>
      </c>
      <c r="D11" s="1" t="s">
        <v>46</v>
      </c>
      <c r="E11" s="1" t="s">
        <v>11</v>
      </c>
      <c r="F11" s="1" t="s">
        <v>47</v>
      </c>
      <c r="G11" s="1" t="s">
        <v>13</v>
      </c>
      <c r="H11" s="2" t="s">
        <v>14</v>
      </c>
    </row>
    <row r="12" spans="1:8" ht="28.8" x14ac:dyDescent="0.3">
      <c r="A12" s="1" t="s">
        <v>48</v>
      </c>
      <c r="B12" s="1" t="s">
        <v>48</v>
      </c>
      <c r="C12" s="1" t="s">
        <v>49</v>
      </c>
      <c r="D12" s="1" t="s">
        <v>50</v>
      </c>
      <c r="E12" s="1" t="s">
        <v>11</v>
      </c>
      <c r="F12" s="1" t="s">
        <v>51</v>
      </c>
      <c r="G12" s="1" t="s">
        <v>13</v>
      </c>
      <c r="H12" s="2" t="s">
        <v>14</v>
      </c>
    </row>
    <row r="13" spans="1:8" ht="28.8" x14ac:dyDescent="0.3">
      <c r="A13" s="1" t="s">
        <v>52</v>
      </c>
      <c r="B13" s="1" t="s">
        <v>52</v>
      </c>
      <c r="C13" s="1" t="s">
        <v>53</v>
      </c>
      <c r="D13" s="1" t="s">
        <v>54</v>
      </c>
      <c r="E13" s="1" t="s">
        <v>26</v>
      </c>
      <c r="F13" s="1" t="s">
        <v>47</v>
      </c>
      <c r="G13" s="1" t="s">
        <v>13</v>
      </c>
      <c r="H13" s="2" t="s">
        <v>14</v>
      </c>
    </row>
  </sheetData>
  <mergeCells count="8">
    <mergeCell ref="G1:G2"/>
    <mergeCell ref="H1:H2"/>
    <mergeCell ref="A1:A2"/>
    <mergeCell ref="C1:C2"/>
    <mergeCell ref="B1:B2"/>
    <mergeCell ref="D1:D2"/>
    <mergeCell ref="E1:E2"/>
    <mergeCell ref="F1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9"/>
  <sheetViews>
    <sheetView topLeftCell="B2" zoomScale="79" workbookViewId="0">
      <selection activeCell="I4" sqref="I4"/>
    </sheetView>
  </sheetViews>
  <sheetFormatPr defaultRowHeight="14.4" x14ac:dyDescent="0.3"/>
  <cols>
    <col min="1" max="1" width="16.88671875" customWidth="1"/>
    <col min="2" max="2" width="15.33203125" customWidth="1"/>
    <col min="3" max="3" width="52.109375" customWidth="1"/>
    <col min="4" max="5" width="12" customWidth="1"/>
    <col min="6" max="6" width="14" customWidth="1"/>
    <col min="7" max="7" width="14.5546875" bestFit="1" customWidth="1"/>
    <col min="8" max="8" width="15.88671875" customWidth="1"/>
    <col min="9" max="9" width="11.33203125" customWidth="1"/>
    <col min="10" max="10" width="13.88671875" customWidth="1"/>
    <col min="11" max="20" width="5.6640625" bestFit="1" customWidth="1"/>
    <col min="21" max="24" width="6.6640625" bestFit="1" customWidth="1"/>
  </cols>
  <sheetData>
    <row r="1" spans="1:24" ht="22.05" customHeight="1" x14ac:dyDescent="0.3">
      <c r="A1" s="12" t="s">
        <v>2</v>
      </c>
      <c r="B1" s="10" t="s">
        <v>55</v>
      </c>
      <c r="C1" s="10" t="s">
        <v>56</v>
      </c>
      <c r="D1" s="14" t="s">
        <v>57</v>
      </c>
      <c r="E1" s="14" t="s">
        <v>58</v>
      </c>
      <c r="F1" s="14" t="s">
        <v>59</v>
      </c>
      <c r="G1" s="14" t="s">
        <v>60</v>
      </c>
      <c r="H1" s="14" t="s">
        <v>7</v>
      </c>
      <c r="I1" s="14" t="s">
        <v>61</v>
      </c>
      <c r="J1" s="14" t="s">
        <v>62</v>
      </c>
      <c r="K1" s="29" t="s">
        <v>63</v>
      </c>
      <c r="L1" s="28" t="s">
        <v>64</v>
      </c>
      <c r="M1" s="28" t="s">
        <v>65</v>
      </c>
      <c r="N1" s="28" t="s">
        <v>66</v>
      </c>
      <c r="O1" s="28" t="s">
        <v>67</v>
      </c>
      <c r="P1" s="28" t="s">
        <v>68</v>
      </c>
      <c r="Q1" s="28" t="s">
        <v>69</v>
      </c>
      <c r="R1" s="28" t="s">
        <v>70</v>
      </c>
      <c r="S1" s="28" t="s">
        <v>71</v>
      </c>
      <c r="T1" s="28" t="s">
        <v>72</v>
      </c>
      <c r="U1" s="28" t="s">
        <v>73</v>
      </c>
      <c r="V1" s="28" t="s">
        <v>74</v>
      </c>
      <c r="W1" s="28" t="s">
        <v>75</v>
      </c>
      <c r="X1" s="28" t="s">
        <v>76</v>
      </c>
    </row>
    <row r="2" spans="1:24" ht="49.2" customHeight="1" x14ac:dyDescent="0.3">
      <c r="A2" s="13"/>
      <c r="B2" s="11"/>
      <c r="C2" s="11"/>
      <c r="D2" s="15"/>
      <c r="E2" s="15"/>
      <c r="F2" s="15"/>
      <c r="G2" s="15"/>
      <c r="H2" s="15"/>
      <c r="I2" s="15"/>
      <c r="J2" s="15"/>
      <c r="K2" s="15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</row>
    <row r="3" spans="1:24" ht="22.05" customHeight="1" x14ac:dyDescent="0.3">
      <c r="A3" s="23"/>
      <c r="B3" s="23"/>
      <c r="C3" s="23"/>
      <c r="D3" s="21" t="s">
        <v>77</v>
      </c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</row>
    <row r="4" spans="1:24" ht="19.95" customHeight="1" x14ac:dyDescent="0.3">
      <c r="A4" s="3"/>
      <c r="B4" s="3"/>
      <c r="C4" s="3"/>
      <c r="D4" s="3"/>
      <c r="E4" s="3"/>
      <c r="F4" s="3"/>
      <c r="G4" s="3"/>
      <c r="H4" s="3"/>
      <c r="I4" s="3"/>
      <c r="J4" s="27">
        <f>SUM(K4:X4)</f>
        <v>122</v>
      </c>
      <c r="K4" s="27">
        <f t="shared" ref="J4:K4" si="0">SUM(K5:K19)</f>
        <v>42</v>
      </c>
      <c r="L4" s="27">
        <f>SUM(L5:L19)</f>
        <v>34</v>
      </c>
      <c r="M4" s="27">
        <f t="shared" ref="M4:Y19" si="1">SUM(M5:M19)</f>
        <v>21</v>
      </c>
      <c r="N4" s="27">
        <f t="shared" si="1"/>
        <v>10</v>
      </c>
      <c r="O4" s="27">
        <f t="shared" si="1"/>
        <v>4</v>
      </c>
      <c r="P4" s="27">
        <f t="shared" si="1"/>
        <v>3</v>
      </c>
      <c r="Q4" s="27">
        <f t="shared" si="1"/>
        <v>2</v>
      </c>
      <c r="R4" s="27">
        <f t="shared" si="1"/>
        <v>2</v>
      </c>
      <c r="S4" s="27">
        <f t="shared" si="1"/>
        <v>2</v>
      </c>
      <c r="T4" s="27">
        <f t="shared" si="1"/>
        <v>2</v>
      </c>
      <c r="U4" s="27">
        <f t="shared" si="1"/>
        <v>0</v>
      </c>
      <c r="V4" s="27">
        <f t="shared" si="1"/>
        <v>0</v>
      </c>
      <c r="W4" s="27">
        <f t="shared" si="1"/>
        <v>0</v>
      </c>
      <c r="X4" s="27">
        <f t="shared" si="1"/>
        <v>0</v>
      </c>
    </row>
    <row r="5" spans="1:24" ht="22.05" customHeight="1" x14ac:dyDescent="0.3">
      <c r="A5" s="24" t="s">
        <v>78</v>
      </c>
      <c r="B5" s="4" t="s">
        <v>79</v>
      </c>
      <c r="C5" s="25" t="s">
        <v>80</v>
      </c>
      <c r="D5" s="3" t="s">
        <v>81</v>
      </c>
      <c r="E5" s="3" t="s">
        <v>82</v>
      </c>
      <c r="F5" s="3" t="s">
        <v>13</v>
      </c>
      <c r="G5" s="3" t="s">
        <v>83</v>
      </c>
      <c r="H5" s="3" t="s">
        <v>84</v>
      </c>
      <c r="I5" s="3" t="s">
        <v>85</v>
      </c>
      <c r="J5" s="5">
        <v>4</v>
      </c>
      <c r="K5" s="5">
        <v>2</v>
      </c>
      <c r="L5" s="5">
        <v>2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4" ht="22.05" customHeight="1" x14ac:dyDescent="0.3">
      <c r="A6" s="24" t="s">
        <v>86</v>
      </c>
      <c r="B6" s="4" t="s">
        <v>87</v>
      </c>
      <c r="C6" s="25" t="s">
        <v>88</v>
      </c>
      <c r="D6" s="3" t="s">
        <v>82</v>
      </c>
      <c r="E6" s="3" t="s">
        <v>89</v>
      </c>
      <c r="F6" s="3" t="s">
        <v>13</v>
      </c>
      <c r="G6" s="3" t="s">
        <v>83</v>
      </c>
      <c r="H6" s="3" t="s">
        <v>84</v>
      </c>
      <c r="I6" s="3" t="s">
        <v>85</v>
      </c>
      <c r="J6" s="5">
        <v>6</v>
      </c>
      <c r="K6" s="5">
        <v>3</v>
      </c>
      <c r="L6" s="5">
        <v>3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4" ht="22.05" customHeight="1" x14ac:dyDescent="0.3">
      <c r="A7" s="24" t="s">
        <v>90</v>
      </c>
      <c r="B7" s="4" t="s">
        <v>91</v>
      </c>
      <c r="C7" s="25" t="s">
        <v>92</v>
      </c>
      <c r="D7" s="3" t="s">
        <v>89</v>
      </c>
      <c r="E7" s="3" t="s">
        <v>93</v>
      </c>
      <c r="F7" s="3" t="s">
        <v>13</v>
      </c>
      <c r="G7" s="3" t="s">
        <v>94</v>
      </c>
      <c r="H7" s="3" t="s">
        <v>84</v>
      </c>
      <c r="I7" s="3" t="s">
        <v>85</v>
      </c>
      <c r="J7" s="5">
        <v>8</v>
      </c>
      <c r="K7" s="5">
        <v>3</v>
      </c>
      <c r="L7" s="5">
        <v>4</v>
      </c>
      <c r="M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4" ht="22.05" customHeight="1" x14ac:dyDescent="0.3">
      <c r="A8" s="24" t="s">
        <v>95</v>
      </c>
      <c r="B8" s="4" t="s">
        <v>96</v>
      </c>
      <c r="C8" s="25" t="s">
        <v>97</v>
      </c>
      <c r="D8" s="3" t="s">
        <v>93</v>
      </c>
      <c r="E8" s="3" t="s">
        <v>98</v>
      </c>
      <c r="F8" s="3" t="s">
        <v>13</v>
      </c>
      <c r="G8" s="3" t="s">
        <v>99</v>
      </c>
      <c r="H8" s="3" t="s">
        <v>84</v>
      </c>
      <c r="I8" s="3" t="s">
        <v>85</v>
      </c>
      <c r="J8" s="5">
        <v>9</v>
      </c>
      <c r="K8" s="5">
        <v>3</v>
      </c>
      <c r="L8" s="5">
        <v>4</v>
      </c>
      <c r="M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4" ht="22.05" customHeight="1" x14ac:dyDescent="0.3">
      <c r="A9" s="24" t="s">
        <v>100</v>
      </c>
      <c r="B9" s="4" t="s">
        <v>101</v>
      </c>
      <c r="C9" s="25" t="s">
        <v>102</v>
      </c>
      <c r="D9" s="3" t="s">
        <v>98</v>
      </c>
      <c r="E9" s="3" t="s">
        <v>103</v>
      </c>
      <c r="F9" s="3" t="s">
        <v>13</v>
      </c>
      <c r="G9" s="3" t="s">
        <v>99</v>
      </c>
      <c r="H9" s="3" t="s">
        <v>84</v>
      </c>
      <c r="I9" s="3" t="s">
        <v>85</v>
      </c>
      <c r="J9" s="5">
        <v>10</v>
      </c>
      <c r="K9" s="5">
        <v>4</v>
      </c>
      <c r="L9" s="5">
        <v>3</v>
      </c>
      <c r="M9" s="5">
        <v>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4" ht="22.05" customHeight="1" x14ac:dyDescent="0.3">
      <c r="A10" s="24" t="s">
        <v>104</v>
      </c>
      <c r="B10" s="4" t="s">
        <v>105</v>
      </c>
      <c r="C10" s="25" t="s">
        <v>106</v>
      </c>
      <c r="D10" s="3" t="s">
        <v>103</v>
      </c>
      <c r="E10" s="3" t="s">
        <v>107</v>
      </c>
      <c r="F10" s="3" t="s">
        <v>13</v>
      </c>
      <c r="G10" s="3" t="s">
        <v>99</v>
      </c>
      <c r="H10" s="3" t="s">
        <v>84</v>
      </c>
      <c r="I10" s="3" t="s">
        <v>85</v>
      </c>
      <c r="J10" s="5">
        <v>10</v>
      </c>
      <c r="K10" s="5">
        <v>3</v>
      </c>
      <c r="L10" s="5">
        <v>2</v>
      </c>
      <c r="M10" s="5">
        <v>2</v>
      </c>
      <c r="N10" s="5">
        <v>3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4" ht="22.05" customHeight="1" x14ac:dyDescent="0.3">
      <c r="A11" s="24" t="s">
        <v>108</v>
      </c>
      <c r="B11" s="4" t="s">
        <v>109</v>
      </c>
      <c r="C11" s="25" t="s">
        <v>110</v>
      </c>
      <c r="D11" s="3" t="s">
        <v>107</v>
      </c>
      <c r="E11" s="3" t="s">
        <v>111</v>
      </c>
      <c r="F11" s="3" t="s">
        <v>13</v>
      </c>
      <c r="G11" s="3" t="s">
        <v>99</v>
      </c>
      <c r="H11" s="3" t="s">
        <v>84</v>
      </c>
      <c r="I11" s="3" t="s">
        <v>112</v>
      </c>
      <c r="J11" s="5">
        <v>8</v>
      </c>
      <c r="K11" s="5">
        <v>4</v>
      </c>
      <c r="L11" s="5">
        <v>2</v>
      </c>
      <c r="M11" s="5">
        <v>1</v>
      </c>
      <c r="N11" s="5">
        <v>1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4" ht="22.05" customHeight="1" x14ac:dyDescent="0.3">
      <c r="A12" s="24" t="s">
        <v>113</v>
      </c>
      <c r="B12" s="4" t="s">
        <v>114</v>
      </c>
      <c r="C12" s="25" t="s">
        <v>115</v>
      </c>
      <c r="D12" s="3" t="s">
        <v>111</v>
      </c>
      <c r="E12" s="3" t="s">
        <v>116</v>
      </c>
      <c r="F12" s="3" t="s">
        <v>13</v>
      </c>
      <c r="G12" s="3" t="s">
        <v>99</v>
      </c>
      <c r="H12" s="3" t="s">
        <v>84</v>
      </c>
      <c r="I12" s="3" t="s">
        <v>85</v>
      </c>
      <c r="J12" s="5">
        <v>8</v>
      </c>
      <c r="K12" s="5">
        <v>3</v>
      </c>
      <c r="L12" s="5">
        <v>2</v>
      </c>
      <c r="M12" s="5">
        <v>2</v>
      </c>
      <c r="N12" s="5">
        <v>1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4" ht="22.05" customHeight="1" x14ac:dyDescent="0.3">
      <c r="A13" s="24" t="s">
        <v>117</v>
      </c>
      <c r="B13" s="4" t="s">
        <v>118</v>
      </c>
      <c r="C13" s="25" t="s">
        <v>119</v>
      </c>
      <c r="D13" s="3" t="s">
        <v>116</v>
      </c>
      <c r="E13" s="3" t="s">
        <v>120</v>
      </c>
      <c r="F13" s="3" t="s">
        <v>13</v>
      </c>
      <c r="G13" s="3" t="s">
        <v>121</v>
      </c>
      <c r="H13" s="3" t="s">
        <v>84</v>
      </c>
      <c r="I13" s="3" t="s">
        <v>85</v>
      </c>
      <c r="J13" s="5">
        <v>10</v>
      </c>
      <c r="K13" s="5">
        <v>4</v>
      </c>
      <c r="L13" s="5">
        <v>3</v>
      </c>
      <c r="M13" s="5">
        <v>1</v>
      </c>
      <c r="N13" s="5">
        <v>1</v>
      </c>
      <c r="O13" s="5">
        <v>1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4" ht="22.05" customHeight="1" x14ac:dyDescent="0.3">
      <c r="A14" s="24" t="s">
        <v>122</v>
      </c>
      <c r="B14" s="4" t="s">
        <v>123</v>
      </c>
      <c r="C14" s="25" t="s">
        <v>124</v>
      </c>
      <c r="D14" s="3" t="s">
        <v>120</v>
      </c>
      <c r="E14" s="3" t="s">
        <v>125</v>
      </c>
      <c r="F14" s="3" t="s">
        <v>13</v>
      </c>
      <c r="G14" s="3" t="s">
        <v>121</v>
      </c>
      <c r="H14" s="3" t="s">
        <v>84</v>
      </c>
      <c r="I14" s="3" t="s">
        <v>85</v>
      </c>
      <c r="J14" s="5">
        <v>12</v>
      </c>
      <c r="K14" s="5">
        <v>3</v>
      </c>
      <c r="L14" s="5">
        <v>2</v>
      </c>
      <c r="M14" s="5">
        <v>3</v>
      </c>
      <c r="N14" s="5">
        <v>2</v>
      </c>
      <c r="O14" s="5">
        <v>1</v>
      </c>
      <c r="P14" s="5">
        <v>1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4" ht="22.05" customHeight="1" x14ac:dyDescent="0.3">
      <c r="A15" s="24" t="s">
        <v>126</v>
      </c>
      <c r="B15" s="4" t="s">
        <v>127</v>
      </c>
      <c r="C15" s="25" t="s">
        <v>128</v>
      </c>
      <c r="D15" s="3" t="s">
        <v>125</v>
      </c>
      <c r="E15" s="3" t="s">
        <v>129</v>
      </c>
      <c r="F15" s="3" t="s">
        <v>13</v>
      </c>
      <c r="G15" s="3" t="s">
        <v>99</v>
      </c>
      <c r="H15" s="3" t="s">
        <v>84</v>
      </c>
      <c r="I15" s="3" t="s">
        <v>85</v>
      </c>
      <c r="J15" s="5">
        <v>13</v>
      </c>
      <c r="K15" s="5">
        <v>4</v>
      </c>
      <c r="L15" s="5">
        <v>4</v>
      </c>
      <c r="M15" s="5">
        <v>2</v>
      </c>
      <c r="N15" s="5">
        <v>1</v>
      </c>
      <c r="O15" s="5">
        <v>1</v>
      </c>
      <c r="P15" s="5">
        <v>1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4" ht="22.05" customHeight="1" x14ac:dyDescent="0.3">
      <c r="A16" s="24" t="s">
        <v>130</v>
      </c>
      <c r="B16" s="4" t="s">
        <v>131</v>
      </c>
      <c r="C16" s="25" t="s">
        <v>132</v>
      </c>
      <c r="D16" s="3" t="s">
        <v>129</v>
      </c>
      <c r="E16" s="3" t="s">
        <v>133</v>
      </c>
      <c r="F16" s="3" t="s">
        <v>13</v>
      </c>
      <c r="G16" s="3" t="s">
        <v>134</v>
      </c>
      <c r="H16" s="3" t="s">
        <v>84</v>
      </c>
      <c r="I16" s="3" t="s">
        <v>85</v>
      </c>
      <c r="J16" s="5">
        <v>15</v>
      </c>
      <c r="K16" s="5">
        <v>4</v>
      </c>
      <c r="L16" s="5">
        <v>2</v>
      </c>
      <c r="M16" s="5">
        <v>4</v>
      </c>
      <c r="N16" s="5">
        <v>1</v>
      </c>
      <c r="O16" s="5">
        <v>1</v>
      </c>
      <c r="P16" s="5">
        <v>1</v>
      </c>
      <c r="Q16" s="5">
        <v>1</v>
      </c>
      <c r="R16" s="5">
        <v>1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ht="22.05" customHeight="1" x14ac:dyDescent="0.3">
      <c r="A17" s="24" t="s">
        <v>135</v>
      </c>
      <c r="B17" s="4" t="s">
        <v>136</v>
      </c>
      <c r="C17" s="25" t="s">
        <v>137</v>
      </c>
      <c r="D17" s="3" t="s">
        <v>133</v>
      </c>
      <c r="E17" s="3" t="s">
        <v>138</v>
      </c>
      <c r="F17" s="3" t="s">
        <v>13</v>
      </c>
      <c r="G17" s="3" t="s">
        <v>139</v>
      </c>
      <c r="H17" s="3" t="s">
        <v>84</v>
      </c>
      <c r="I17" s="3" t="s">
        <v>112</v>
      </c>
      <c r="J17" s="5">
        <v>4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1</v>
      </c>
      <c r="R17" s="5">
        <v>1</v>
      </c>
      <c r="S17" s="5">
        <v>1</v>
      </c>
      <c r="T17" s="5">
        <v>1</v>
      </c>
      <c r="U17" s="5">
        <v>0</v>
      </c>
      <c r="V17" s="5">
        <v>0</v>
      </c>
      <c r="W17" s="5">
        <v>0</v>
      </c>
      <c r="X17" s="5">
        <v>0</v>
      </c>
    </row>
    <row r="18" spans="1:24" ht="22.05" customHeight="1" x14ac:dyDescent="0.3">
      <c r="A18" s="24" t="s">
        <v>140</v>
      </c>
      <c r="B18" s="4" t="s">
        <v>141</v>
      </c>
      <c r="C18" s="25" t="s">
        <v>142</v>
      </c>
      <c r="D18" s="3" t="s">
        <v>138</v>
      </c>
      <c r="E18" s="3" t="s">
        <v>143</v>
      </c>
      <c r="F18" s="3" t="s">
        <v>13</v>
      </c>
      <c r="G18" s="3" t="s">
        <v>139</v>
      </c>
      <c r="H18" s="3" t="s">
        <v>84</v>
      </c>
      <c r="I18" s="3" t="s">
        <v>112</v>
      </c>
      <c r="J18" s="5">
        <v>5</v>
      </c>
      <c r="K18" s="5">
        <v>2</v>
      </c>
      <c r="L18" s="5">
        <v>1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1</v>
      </c>
      <c r="U18" s="5">
        <v>0</v>
      </c>
      <c r="V18" s="5">
        <v>0</v>
      </c>
      <c r="W18" s="5">
        <v>0</v>
      </c>
      <c r="X18" s="5">
        <v>0</v>
      </c>
    </row>
    <row r="19" spans="1:24" ht="22.05" customHeight="1" x14ac:dyDescent="0.3">
      <c r="A19" s="24" t="s">
        <v>144</v>
      </c>
      <c r="B19" s="4" t="s">
        <v>145</v>
      </c>
      <c r="C19" s="25" t="s">
        <v>146</v>
      </c>
      <c r="D19" s="3" t="s">
        <v>143</v>
      </c>
      <c r="E19" s="3" t="s">
        <v>147</v>
      </c>
      <c r="F19" s="3" t="s">
        <v>13</v>
      </c>
      <c r="G19" s="3" t="s">
        <v>148</v>
      </c>
      <c r="H19" s="3" t="s">
        <v>84</v>
      </c>
      <c r="I19" s="3" t="s">
        <v>149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</sheetData>
  <mergeCells count="25">
    <mergeCell ref="U1:U2"/>
    <mergeCell ref="C1:C2"/>
    <mergeCell ref="P1:P2"/>
    <mergeCell ref="M1:M2"/>
    <mergeCell ref="K1:K2"/>
    <mergeCell ref="F1:F2"/>
    <mergeCell ref="N1:N2"/>
    <mergeCell ref="B1:B2"/>
    <mergeCell ref="W1:W2"/>
    <mergeCell ref="H1:H2"/>
    <mergeCell ref="L1:L2"/>
    <mergeCell ref="E1:E2"/>
    <mergeCell ref="V1:V2"/>
    <mergeCell ref="X1:X2"/>
    <mergeCell ref="D3:X3"/>
    <mergeCell ref="A1:A2"/>
    <mergeCell ref="R1:R2"/>
    <mergeCell ref="T1:T2"/>
    <mergeCell ref="D1:D2"/>
    <mergeCell ref="S1:S2"/>
    <mergeCell ref="O1:O2"/>
    <mergeCell ref="Q1:Q2"/>
    <mergeCell ref="J1:J2"/>
    <mergeCell ref="G1:G2"/>
    <mergeCell ref="I1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/>
  </sheetViews>
  <sheetFormatPr defaultRowHeight="14.4" x14ac:dyDescent="0.3"/>
  <cols>
    <col min="1" max="1" width="12" customWidth="1"/>
    <col min="2" max="2" width="10" customWidth="1"/>
    <col min="3" max="4" width="50" customWidth="1"/>
  </cols>
  <sheetData>
    <row r="1" spans="1:4" ht="45.6" customHeight="1" x14ac:dyDescent="0.3">
      <c r="A1" s="6" t="s">
        <v>150</v>
      </c>
      <c r="B1" s="6" t="s">
        <v>151</v>
      </c>
      <c r="C1" s="6" t="s">
        <v>152</v>
      </c>
      <c r="D1" s="6" t="s">
        <v>153</v>
      </c>
    </row>
    <row r="2" spans="1:4" ht="31.95" customHeight="1" x14ac:dyDescent="0.3">
      <c r="A2" s="1" t="s">
        <v>8</v>
      </c>
      <c r="B2" s="1" t="s">
        <v>66</v>
      </c>
      <c r="C2" s="1" t="s">
        <v>154</v>
      </c>
      <c r="D2" s="1" t="s">
        <v>155</v>
      </c>
    </row>
    <row r="3" spans="1:4" ht="31.95" customHeight="1" x14ac:dyDescent="0.3">
      <c r="A3" s="1" t="s">
        <v>15</v>
      </c>
      <c r="B3" s="1" t="s">
        <v>69</v>
      </c>
      <c r="C3" s="1" t="s">
        <v>156</v>
      </c>
      <c r="D3" s="1" t="s">
        <v>157</v>
      </c>
    </row>
    <row r="4" spans="1:4" ht="31.95" customHeight="1" x14ac:dyDescent="0.3">
      <c r="A4" s="1" t="s">
        <v>19</v>
      </c>
      <c r="B4" s="1" t="s">
        <v>73</v>
      </c>
      <c r="C4" s="1" t="s">
        <v>158</v>
      </c>
      <c r="D4" s="1" t="s">
        <v>159</v>
      </c>
    </row>
    <row r="5" spans="1:4" ht="31.95" customHeight="1" x14ac:dyDescent="0.3">
      <c r="A5" s="1" t="s">
        <v>23</v>
      </c>
      <c r="B5" s="1" t="s">
        <v>160</v>
      </c>
      <c r="C5" s="1" t="s">
        <v>161</v>
      </c>
      <c r="D5" s="1" t="s">
        <v>162</v>
      </c>
    </row>
    <row r="6" spans="1:4" ht="31.95" customHeight="1" x14ac:dyDescent="0.3">
      <c r="A6" s="1" t="s">
        <v>28</v>
      </c>
      <c r="B6" s="1" t="s">
        <v>163</v>
      </c>
      <c r="C6" s="1" t="s">
        <v>164</v>
      </c>
      <c r="D6" s="1" t="s">
        <v>165</v>
      </c>
    </row>
    <row r="7" spans="1:4" ht="31.95" customHeight="1" x14ac:dyDescent="0.3">
      <c r="A7" s="1" t="s">
        <v>32</v>
      </c>
      <c r="B7" s="1" t="s">
        <v>166</v>
      </c>
      <c r="C7" s="1" t="s">
        <v>167</v>
      </c>
      <c r="D7" s="1" t="s">
        <v>168</v>
      </c>
    </row>
    <row r="8" spans="1:4" ht="31.95" customHeight="1" x14ac:dyDescent="0.3">
      <c r="A8" s="1" t="s">
        <v>36</v>
      </c>
      <c r="B8" s="1" t="s">
        <v>169</v>
      </c>
      <c r="C8" s="1" t="s">
        <v>170</v>
      </c>
      <c r="D8" s="1" t="s">
        <v>171</v>
      </c>
    </row>
    <row r="9" spans="1:4" ht="31.95" customHeight="1" x14ac:dyDescent="0.3">
      <c r="A9" s="1" t="s">
        <v>40</v>
      </c>
      <c r="B9" s="1" t="s">
        <v>172</v>
      </c>
      <c r="C9" s="1" t="s">
        <v>173</v>
      </c>
      <c r="D9" s="1" t="s">
        <v>174</v>
      </c>
    </row>
    <row r="10" spans="1:4" ht="31.95" customHeight="1" x14ac:dyDescent="0.3">
      <c r="A10" s="1" t="s">
        <v>44</v>
      </c>
      <c r="B10" s="1" t="s">
        <v>175</v>
      </c>
      <c r="C10" s="1" t="s">
        <v>176</v>
      </c>
      <c r="D10" s="1" t="s">
        <v>177</v>
      </c>
    </row>
    <row r="11" spans="1:4" ht="31.95" customHeight="1" x14ac:dyDescent="0.3">
      <c r="A11" s="1" t="s">
        <v>48</v>
      </c>
      <c r="B11" s="1" t="s">
        <v>178</v>
      </c>
      <c r="C11" s="1" t="s">
        <v>179</v>
      </c>
      <c r="D11" s="1" t="s">
        <v>180</v>
      </c>
    </row>
    <row r="12" spans="1:4" ht="31.95" customHeight="1" x14ac:dyDescent="0.3">
      <c r="A12" s="1" t="s">
        <v>52</v>
      </c>
      <c r="B12" s="1" t="s">
        <v>181</v>
      </c>
      <c r="C12" s="1" t="s">
        <v>182</v>
      </c>
      <c r="D12" s="1" t="s">
        <v>183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C4" sqref="C4"/>
    </sheetView>
  </sheetViews>
  <sheetFormatPr defaultRowHeight="14.4" x14ac:dyDescent="0.3"/>
  <cols>
    <col min="1" max="1" width="6" customWidth="1"/>
    <col min="2" max="2" width="10" customWidth="1"/>
    <col min="3" max="4" width="14" customWidth="1"/>
    <col min="5" max="5" width="18" customWidth="1"/>
    <col min="6" max="9" width="38" customWidth="1"/>
  </cols>
  <sheetData>
    <row r="1" spans="1:9" ht="73.2" customHeight="1" x14ac:dyDescent="0.3">
      <c r="A1" s="26" t="s">
        <v>249</v>
      </c>
      <c r="B1" s="26" t="s">
        <v>248</v>
      </c>
      <c r="C1" s="7" t="s">
        <v>184</v>
      </c>
      <c r="D1" s="7" t="s">
        <v>185</v>
      </c>
      <c r="E1" s="7" t="s">
        <v>186</v>
      </c>
      <c r="F1" s="7" t="s">
        <v>187</v>
      </c>
      <c r="G1" s="7" t="s">
        <v>188</v>
      </c>
      <c r="H1" s="7" t="s">
        <v>189</v>
      </c>
      <c r="I1" s="7" t="s">
        <v>190</v>
      </c>
    </row>
    <row r="2" spans="1:9" ht="36" customHeight="1" x14ac:dyDescent="0.3">
      <c r="A2" s="1">
        <v>1</v>
      </c>
      <c r="B2" s="1" t="s">
        <v>8</v>
      </c>
      <c r="C2" s="1" t="s">
        <v>191</v>
      </c>
      <c r="D2" s="1" t="s">
        <v>192</v>
      </c>
      <c r="E2" s="1" t="s">
        <v>13</v>
      </c>
      <c r="F2" s="1" t="s">
        <v>193</v>
      </c>
      <c r="G2" s="1" t="s">
        <v>194</v>
      </c>
      <c r="H2" s="1" t="s">
        <v>195</v>
      </c>
      <c r="I2" s="1" t="s">
        <v>196</v>
      </c>
    </row>
    <row r="3" spans="1:9" ht="36" customHeight="1" x14ac:dyDescent="0.3">
      <c r="A3" s="1">
        <v>2</v>
      </c>
      <c r="B3" s="1" t="s">
        <v>15</v>
      </c>
      <c r="C3" s="1" t="s">
        <v>192</v>
      </c>
      <c r="D3" s="1" t="s">
        <v>197</v>
      </c>
      <c r="E3" s="1" t="s">
        <v>13</v>
      </c>
      <c r="F3" s="1" t="s">
        <v>198</v>
      </c>
      <c r="G3" s="1" t="s">
        <v>199</v>
      </c>
      <c r="H3" s="1" t="s">
        <v>200</v>
      </c>
      <c r="I3" s="1" t="s">
        <v>201</v>
      </c>
    </row>
    <row r="4" spans="1:9" ht="36" customHeight="1" x14ac:dyDescent="0.3">
      <c r="A4" s="1">
        <v>3</v>
      </c>
      <c r="B4" s="1" t="s">
        <v>19</v>
      </c>
      <c r="C4" s="1" t="s">
        <v>197</v>
      </c>
      <c r="D4" s="1" t="s">
        <v>202</v>
      </c>
      <c r="E4" s="1" t="s">
        <v>13</v>
      </c>
      <c r="F4" s="1" t="s">
        <v>203</v>
      </c>
      <c r="G4" s="1" t="s">
        <v>204</v>
      </c>
      <c r="H4" s="1" t="s">
        <v>205</v>
      </c>
      <c r="I4" s="1" t="s">
        <v>206</v>
      </c>
    </row>
    <row r="5" spans="1:9" ht="36" customHeight="1" x14ac:dyDescent="0.3">
      <c r="A5" s="1">
        <v>4</v>
      </c>
      <c r="B5" s="1" t="s">
        <v>23</v>
      </c>
      <c r="C5" s="1" t="s">
        <v>202</v>
      </c>
      <c r="D5" s="1" t="s">
        <v>207</v>
      </c>
      <c r="E5" s="1" t="s">
        <v>13</v>
      </c>
      <c r="F5" s="1" t="s">
        <v>208</v>
      </c>
      <c r="G5" s="1" t="s">
        <v>209</v>
      </c>
      <c r="H5" s="1" t="s">
        <v>210</v>
      </c>
      <c r="I5" s="1" t="s">
        <v>211</v>
      </c>
    </row>
    <row r="6" spans="1:9" ht="36" customHeight="1" x14ac:dyDescent="0.3">
      <c r="A6" s="1">
        <v>5</v>
      </c>
      <c r="B6" s="1" t="s">
        <v>28</v>
      </c>
      <c r="C6" s="1" t="s">
        <v>207</v>
      </c>
      <c r="D6" s="1" t="s">
        <v>212</v>
      </c>
      <c r="E6" s="1" t="s">
        <v>13</v>
      </c>
      <c r="F6" s="1" t="s">
        <v>213</v>
      </c>
      <c r="G6" s="1" t="s">
        <v>214</v>
      </c>
      <c r="H6" s="1" t="s">
        <v>215</v>
      </c>
      <c r="I6" s="1" t="s">
        <v>216</v>
      </c>
    </row>
    <row r="7" spans="1:9" ht="36" customHeight="1" x14ac:dyDescent="0.3">
      <c r="A7" s="1">
        <v>6</v>
      </c>
      <c r="B7" s="1" t="s">
        <v>32</v>
      </c>
      <c r="C7" s="1" t="s">
        <v>212</v>
      </c>
      <c r="D7" s="1" t="s">
        <v>217</v>
      </c>
      <c r="E7" s="1" t="s">
        <v>13</v>
      </c>
      <c r="F7" s="1" t="s">
        <v>218</v>
      </c>
      <c r="G7" s="1" t="s">
        <v>219</v>
      </c>
      <c r="H7" s="1" t="s">
        <v>220</v>
      </c>
      <c r="I7" s="1" t="s">
        <v>221</v>
      </c>
    </row>
    <row r="8" spans="1:9" ht="36" customHeight="1" x14ac:dyDescent="0.3">
      <c r="A8" s="1">
        <v>7</v>
      </c>
      <c r="B8" s="1" t="s">
        <v>36</v>
      </c>
      <c r="C8" s="1" t="s">
        <v>217</v>
      </c>
      <c r="D8" s="1" t="s">
        <v>222</v>
      </c>
      <c r="E8" s="1" t="s">
        <v>13</v>
      </c>
      <c r="F8" s="1" t="s">
        <v>223</v>
      </c>
      <c r="G8" s="1" t="s">
        <v>224</v>
      </c>
      <c r="H8" s="1" t="s">
        <v>225</v>
      </c>
      <c r="I8" s="1" t="s">
        <v>226</v>
      </c>
    </row>
    <row r="9" spans="1:9" ht="36" customHeight="1" x14ac:dyDescent="0.3">
      <c r="A9" s="1">
        <v>8</v>
      </c>
      <c r="B9" s="1" t="s">
        <v>40</v>
      </c>
      <c r="C9" s="1" t="s">
        <v>222</v>
      </c>
      <c r="D9" s="1" t="s">
        <v>227</v>
      </c>
      <c r="E9" s="1" t="s">
        <v>13</v>
      </c>
      <c r="F9" s="1" t="s">
        <v>228</v>
      </c>
      <c r="G9" s="1" t="s">
        <v>229</v>
      </c>
      <c r="H9" s="1" t="s">
        <v>230</v>
      </c>
      <c r="I9" s="1" t="s">
        <v>231</v>
      </c>
    </row>
    <row r="10" spans="1:9" ht="36" customHeight="1" x14ac:dyDescent="0.3">
      <c r="A10" s="1">
        <v>9</v>
      </c>
      <c r="B10" s="1" t="s">
        <v>44</v>
      </c>
      <c r="C10" s="1" t="s">
        <v>232</v>
      </c>
      <c r="D10" s="1" t="s">
        <v>233</v>
      </c>
      <c r="E10" s="1" t="s">
        <v>13</v>
      </c>
      <c r="F10" s="1" t="s">
        <v>234</v>
      </c>
      <c r="G10" s="1" t="s">
        <v>235</v>
      </c>
      <c r="H10" s="1" t="s">
        <v>236</v>
      </c>
      <c r="I10" s="1" t="s">
        <v>237</v>
      </c>
    </row>
    <row r="11" spans="1:9" ht="36" customHeight="1" x14ac:dyDescent="0.3">
      <c r="A11" s="1">
        <v>10</v>
      </c>
      <c r="B11" s="1" t="s">
        <v>48</v>
      </c>
      <c r="C11" s="1" t="s">
        <v>233</v>
      </c>
      <c r="D11" s="1" t="s">
        <v>238</v>
      </c>
      <c r="E11" s="1" t="s">
        <v>13</v>
      </c>
      <c r="F11" s="1" t="s">
        <v>239</v>
      </c>
      <c r="G11" s="1" t="s">
        <v>240</v>
      </c>
      <c r="H11" s="1" t="s">
        <v>241</v>
      </c>
      <c r="I11" s="1" t="s">
        <v>242</v>
      </c>
    </row>
    <row r="12" spans="1:9" ht="36" customHeight="1" x14ac:dyDescent="0.3">
      <c r="A12" s="1">
        <v>11</v>
      </c>
      <c r="B12" s="1" t="s">
        <v>52</v>
      </c>
      <c r="C12" s="1" t="s">
        <v>238</v>
      </c>
      <c r="D12" s="1" t="s">
        <v>243</v>
      </c>
      <c r="E12" s="1" t="s">
        <v>13</v>
      </c>
      <c r="F12" s="1" t="s">
        <v>244</v>
      </c>
      <c r="G12" s="1" t="s">
        <v>245</v>
      </c>
      <c r="H12" s="1" t="s">
        <v>246</v>
      </c>
      <c r="I12" s="1" t="s">
        <v>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Dolendra Sai Teja Nelluri</cp:lastModifiedBy>
  <dcterms:created xsi:type="dcterms:W3CDTF">2026-02-21T18:18:10Z</dcterms:created>
  <dcterms:modified xsi:type="dcterms:W3CDTF">2026-02-21T19:02:59Z</dcterms:modified>
</cp:coreProperties>
</file>